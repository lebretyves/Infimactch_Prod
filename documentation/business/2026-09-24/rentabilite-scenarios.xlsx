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s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8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t="inlineStr">
        <is>
          <t>Coût mensuel</t>
        </is>
      </c>
      <c r="B2" s="2" t="n">
        <v>5265.302222222223</v>
      </c>
    </row>
    <row r="3">
      <c r="A3" t="inlineStr">
        <is>
          <t>Établissements payants</t>
        </is>
      </c>
      <c r="B3" s="2" t="n">
        <v>20</v>
      </c>
    </row>
    <row r="4">
      <c r="A4" t="inlineStr">
        <is>
          <t>Prix par validation</t>
        </is>
      </c>
      <c r="B4" s="2" t="n">
        <v>19</v>
      </c>
    </row>
    <row r="5">
      <c r="A5" t="inlineStr">
        <is>
          <t>Forfait par établissement</t>
        </is>
      </c>
      <c r="B5" s="2" t="n">
        <v>299</v>
      </c>
    </row>
    <row r="6">
      <c r="A6" t="inlineStr">
        <is>
          <t>Validations par établissement incluses</t>
        </is>
      </c>
      <c r="B6" s="2" t="n">
        <v>30</v>
      </c>
    </row>
    <row r="7">
      <c r="A7" t="inlineStr">
        <is>
          <t>Abonnement mixte</t>
        </is>
      </c>
      <c r="B7" s="2" t="n">
        <v>149</v>
      </c>
    </row>
    <row r="8">
      <c r="A8" t="inlineStr">
        <is>
          <t>Prix variable mixte</t>
        </is>
      </c>
      <c r="B8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Validations</t>
        </is>
      </c>
      <c r="B1" s="1" t="inlineStr">
        <is>
          <t>CA mission</t>
        </is>
      </c>
      <c r="C1" s="1" t="inlineStr">
        <is>
          <t>Solde mission</t>
        </is>
      </c>
      <c r="D1" s="1" t="inlineStr">
        <is>
          <t>Solde / mission</t>
        </is>
      </c>
      <c r="E1" s="1" t="inlineStr">
        <is>
          <t>CA forfait</t>
        </is>
      </c>
      <c r="F1" s="1" t="inlineStr">
        <is>
          <t>Solde forfait</t>
        </is>
      </c>
      <c r="G1" s="1" t="inlineStr">
        <is>
          <t>Solde / mission</t>
        </is>
      </c>
      <c r="H1" s="1" t="inlineStr">
        <is>
          <t>CA mixte</t>
        </is>
      </c>
      <c r="I1" s="1" t="inlineStr">
        <is>
          <t>Solde mixte</t>
        </is>
      </c>
      <c r="J1" s="1" t="inlineStr">
        <is>
          <t>Solde / mission</t>
        </is>
      </c>
    </row>
    <row r="2">
      <c r="A2" s="2" t="n">
        <v>0</v>
      </c>
      <c r="B2" s="2">
        <f>A2*Parametres!$B$4</f>
        <v/>
      </c>
      <c r="C2" s="2">
        <f>B2-Parametres!$B$2</f>
        <v/>
      </c>
      <c r="D2" s="2">
        <f>IF(A2=0,"",C2/A2)</f>
        <v/>
      </c>
      <c r="E2" s="2">
        <f>IF(A2&gt;Parametres!$B$3*Parametres!$B$6,"Hors forfait",Parametres!$B$3*Parametres!$B$5)</f>
        <v/>
      </c>
      <c r="F2" s="2">
        <f>IF(ISNUMBER(E2),E2-Parametres!$B$2,"")</f>
        <v/>
      </c>
      <c r="G2" s="2">
        <f>IF(AND(A2&gt;0,ISNUMBER(F2)),F2/A2,"")</f>
        <v/>
      </c>
      <c r="H2" s="2">
        <f>Parametres!$B$3*Parametres!$B$7+A2*Parametres!$B$8</f>
        <v/>
      </c>
      <c r="I2" s="2">
        <f>H2-Parametres!$B$2</f>
        <v/>
      </c>
      <c r="J2" s="2">
        <f>IF(A2=0,"",I2/A2)</f>
        <v/>
      </c>
    </row>
    <row r="3">
      <c r="A3" s="2" t="n">
        <v>50</v>
      </c>
      <c r="B3" s="2">
        <f>A3*Parametres!$B$4</f>
        <v/>
      </c>
      <c r="C3" s="2">
        <f>B3-Parametres!$B$2</f>
        <v/>
      </c>
      <c r="D3" s="2">
        <f>IF(A3=0,"",C3/A3)</f>
        <v/>
      </c>
      <c r="E3" s="2">
        <f>IF(A3&gt;Parametres!$B$3*Parametres!$B$6,"Hors forfait",Parametres!$B$3*Parametres!$B$5)</f>
        <v/>
      </c>
      <c r="F3" s="2">
        <f>IF(ISNUMBER(E3),E3-Parametres!$B$2,"")</f>
        <v/>
      </c>
      <c r="G3" s="2">
        <f>IF(AND(A3&gt;0,ISNUMBER(F3)),F3/A3,"")</f>
        <v/>
      </c>
      <c r="H3" s="2">
        <f>Parametres!$B$3*Parametres!$B$7+A3*Parametres!$B$8</f>
        <v/>
      </c>
      <c r="I3" s="2">
        <f>H3-Parametres!$B$2</f>
        <v/>
      </c>
      <c r="J3" s="2">
        <f>IF(A3=0,"",I3/A3)</f>
        <v/>
      </c>
    </row>
    <row r="4">
      <c r="A4" s="2" t="n">
        <v>100</v>
      </c>
      <c r="B4" s="2">
        <f>A4*Parametres!$B$4</f>
        <v/>
      </c>
      <c r="C4" s="2">
        <f>B4-Parametres!$B$2</f>
        <v/>
      </c>
      <c r="D4" s="2">
        <f>IF(A4=0,"",C4/A4)</f>
        <v/>
      </c>
      <c r="E4" s="2">
        <f>IF(A4&gt;Parametres!$B$3*Parametres!$B$6,"Hors forfait",Parametres!$B$3*Parametres!$B$5)</f>
        <v/>
      </c>
      <c r="F4" s="2">
        <f>IF(ISNUMBER(E4),E4-Parametres!$B$2,"")</f>
        <v/>
      </c>
      <c r="G4" s="2">
        <f>IF(AND(A4&gt;0,ISNUMBER(F4)),F4/A4,"")</f>
        <v/>
      </c>
      <c r="H4" s="2">
        <f>Parametres!$B$3*Parametres!$B$7+A4*Parametres!$B$8</f>
        <v/>
      </c>
      <c r="I4" s="2">
        <f>H4-Parametres!$B$2</f>
        <v/>
      </c>
      <c r="J4" s="2">
        <f>IF(A4=0,"",I4/A4)</f>
        <v/>
      </c>
    </row>
    <row r="5">
      <c r="A5" s="2" t="n">
        <v>200</v>
      </c>
      <c r="B5" s="2">
        <f>A5*Parametres!$B$4</f>
        <v/>
      </c>
      <c r="C5" s="2">
        <f>B5-Parametres!$B$2</f>
        <v/>
      </c>
      <c r="D5" s="2">
        <f>IF(A5=0,"",C5/A5)</f>
        <v/>
      </c>
      <c r="E5" s="2">
        <f>IF(A5&gt;Parametres!$B$3*Parametres!$B$6,"Hors forfait",Parametres!$B$3*Parametres!$B$5)</f>
        <v/>
      </c>
      <c r="F5" s="2">
        <f>IF(ISNUMBER(E5),E5-Parametres!$B$2,"")</f>
        <v/>
      </c>
      <c r="G5" s="2">
        <f>IF(AND(A5&gt;0,ISNUMBER(F5)),F5/A5,"")</f>
        <v/>
      </c>
      <c r="H5" s="2">
        <f>Parametres!$B$3*Parametres!$B$7+A5*Parametres!$B$8</f>
        <v/>
      </c>
      <c r="I5" s="2">
        <f>H5-Parametres!$B$2</f>
        <v/>
      </c>
      <c r="J5" s="2">
        <f>IF(A5=0,"",I5/A5)</f>
        <v/>
      </c>
    </row>
    <row r="6">
      <c r="A6" s="2" t="n">
        <v>250</v>
      </c>
      <c r="B6" s="2">
        <f>A6*Parametres!$B$4</f>
        <v/>
      </c>
      <c r="C6" s="2">
        <f>B6-Parametres!$B$2</f>
        <v/>
      </c>
      <c r="D6" s="2">
        <f>IF(A6=0,"",C6/A6)</f>
        <v/>
      </c>
      <c r="E6" s="2">
        <f>IF(A6&gt;Parametres!$B$3*Parametres!$B$6,"Hors forfait",Parametres!$B$3*Parametres!$B$5)</f>
        <v/>
      </c>
      <c r="F6" s="2">
        <f>IF(ISNUMBER(E6),E6-Parametres!$B$2,"")</f>
        <v/>
      </c>
      <c r="G6" s="2">
        <f>IF(AND(A6&gt;0,ISNUMBER(F6)),F6/A6,"")</f>
        <v/>
      </c>
      <c r="H6" s="2">
        <f>Parametres!$B$3*Parametres!$B$7+A6*Parametres!$B$8</f>
        <v/>
      </c>
      <c r="I6" s="2">
        <f>H6-Parametres!$B$2</f>
        <v/>
      </c>
      <c r="J6" s="2">
        <f>IF(A6=0,"",I6/A6)</f>
        <v/>
      </c>
    </row>
    <row r="7">
      <c r="A7" s="2" t="n">
        <v>254</v>
      </c>
      <c r="B7" s="2">
        <f>A7*Parametres!$B$4</f>
        <v/>
      </c>
      <c r="C7" s="2">
        <f>B7-Parametres!$B$2</f>
        <v/>
      </c>
      <c r="D7" s="2">
        <f>IF(A7=0,"",C7/A7)</f>
        <v/>
      </c>
      <c r="E7" s="2">
        <f>IF(A7&gt;Parametres!$B$3*Parametres!$B$6,"Hors forfait",Parametres!$B$3*Parametres!$B$5)</f>
        <v/>
      </c>
      <c r="F7" s="2">
        <f>IF(ISNUMBER(E7),E7-Parametres!$B$2,"")</f>
        <v/>
      </c>
      <c r="G7" s="2">
        <f>IF(AND(A7&gt;0,ISNUMBER(F7)),F7/A7,"")</f>
        <v/>
      </c>
      <c r="H7" s="2">
        <f>Parametres!$B$3*Parametres!$B$7+A7*Parametres!$B$8</f>
        <v/>
      </c>
      <c r="I7" s="2">
        <f>H7-Parametres!$B$2</f>
        <v/>
      </c>
      <c r="J7" s="2">
        <f>IF(A7=0,"",I7/A7)</f>
        <v/>
      </c>
    </row>
    <row r="8">
      <c r="A8" s="2" t="n">
        <v>278</v>
      </c>
      <c r="B8" s="2">
        <f>A8*Parametres!$B$4</f>
        <v/>
      </c>
      <c r="C8" s="2">
        <f>B8-Parametres!$B$2</f>
        <v/>
      </c>
      <c r="D8" s="2">
        <f>IF(A8=0,"",C8/A8)</f>
        <v/>
      </c>
      <c r="E8" s="2">
        <f>IF(A8&gt;Parametres!$B$3*Parametres!$B$6,"Hors forfait",Parametres!$B$3*Parametres!$B$5)</f>
        <v/>
      </c>
      <c r="F8" s="2">
        <f>IF(ISNUMBER(E8),E8-Parametres!$B$2,"")</f>
        <v/>
      </c>
      <c r="G8" s="2">
        <f>IF(AND(A8&gt;0,ISNUMBER(F8)),F8/A8,"")</f>
        <v/>
      </c>
      <c r="H8" s="2">
        <f>Parametres!$B$3*Parametres!$B$7+A8*Parametres!$B$8</f>
        <v/>
      </c>
      <c r="I8" s="2">
        <f>H8-Parametres!$B$2</f>
        <v/>
      </c>
      <c r="J8" s="2">
        <f>IF(A8=0,"",I8/A8)</f>
        <v/>
      </c>
    </row>
    <row r="9">
      <c r="A9" s="2" t="n">
        <v>300</v>
      </c>
      <c r="B9" s="2">
        <f>A9*Parametres!$B$4</f>
        <v/>
      </c>
      <c r="C9" s="2">
        <f>B9-Parametres!$B$2</f>
        <v/>
      </c>
      <c r="D9" s="2">
        <f>IF(A9=0,"",C9/A9)</f>
        <v/>
      </c>
      <c r="E9" s="2">
        <f>IF(A9&gt;Parametres!$B$3*Parametres!$B$6,"Hors forfait",Parametres!$B$3*Parametres!$B$5)</f>
        <v/>
      </c>
      <c r="F9" s="2">
        <f>IF(ISNUMBER(E9),E9-Parametres!$B$2,"")</f>
        <v/>
      </c>
      <c r="G9" s="2">
        <f>IF(AND(A9&gt;0,ISNUMBER(F9)),F9/A9,"")</f>
        <v/>
      </c>
      <c r="H9" s="2">
        <f>Parametres!$B$3*Parametres!$B$7+A9*Parametres!$B$8</f>
        <v/>
      </c>
      <c r="I9" s="2">
        <f>H9-Parametres!$B$2</f>
        <v/>
      </c>
      <c r="J9" s="2">
        <f>IF(A9=0,"",I9/A9)</f>
        <v/>
      </c>
    </row>
    <row r="10">
      <c r="A10" s="2" t="n">
        <v>500</v>
      </c>
      <c r="B10" s="2">
        <f>A10*Parametres!$B$4</f>
        <v/>
      </c>
      <c r="C10" s="2">
        <f>B10-Parametres!$B$2</f>
        <v/>
      </c>
      <c r="D10" s="2">
        <f>IF(A10=0,"",C10/A10)</f>
        <v/>
      </c>
      <c r="E10" s="2">
        <f>IF(A10&gt;Parametres!$B$3*Parametres!$B$6,"Hors forfait",Parametres!$B$3*Parametres!$B$5)</f>
        <v/>
      </c>
      <c r="F10" s="2">
        <f>IF(ISNUMBER(E10),E10-Parametres!$B$2,"")</f>
        <v/>
      </c>
      <c r="G10" s="2">
        <f>IF(AND(A10&gt;0,ISNUMBER(F10)),F10/A10,"")</f>
        <v/>
      </c>
      <c r="H10" s="2">
        <f>Parametres!$B$3*Parametres!$B$7+A10*Parametres!$B$8</f>
        <v/>
      </c>
      <c r="I10" s="2">
        <f>H10-Parametres!$B$2</f>
        <v/>
      </c>
      <c r="J10" s="2">
        <f>IF(A10=0,"",I10/A10)</f>
        <v/>
      </c>
    </row>
    <row r="11">
      <c r="A11" s="2" t="n">
        <v>600</v>
      </c>
      <c r="B11" s="2">
        <f>A11*Parametres!$B$4</f>
        <v/>
      </c>
      <c r="C11" s="2">
        <f>B11-Parametres!$B$2</f>
        <v/>
      </c>
      <c r="D11" s="2">
        <f>IF(A11=0,"",C11/A11)</f>
        <v/>
      </c>
      <c r="E11" s="2">
        <f>IF(A11&gt;Parametres!$B$3*Parametres!$B$6,"Hors forfait",Parametres!$B$3*Parametres!$B$5)</f>
        <v/>
      </c>
      <c r="F11" s="2">
        <f>IF(ISNUMBER(E11),E11-Parametres!$B$2,"")</f>
        <v/>
      </c>
      <c r="G11" s="2">
        <f>IF(AND(A11&gt;0,ISNUMBER(F11)),F11/A11,"")</f>
        <v/>
      </c>
      <c r="H11" s="2">
        <f>Parametres!$B$3*Parametres!$B$7+A11*Parametres!$B$8</f>
        <v/>
      </c>
      <c r="I11" s="2">
        <f>H11-Parametres!$B$2</f>
        <v/>
      </c>
      <c r="J11" s="2">
        <f>IF(A11=0,"",I11/A11)</f>
        <v/>
      </c>
    </row>
    <row r="12">
      <c r="A12" s="2" t="n">
        <v>750</v>
      </c>
      <c r="B12" s="2">
        <f>A12*Parametres!$B$4</f>
        <v/>
      </c>
      <c r="C12" s="2">
        <f>B12-Parametres!$B$2</f>
        <v/>
      </c>
      <c r="D12" s="2">
        <f>IF(A12=0,"",C12/A12)</f>
        <v/>
      </c>
      <c r="E12" s="2">
        <f>IF(A12&gt;Parametres!$B$3*Parametres!$B$6,"Hors forfait",Parametres!$B$3*Parametres!$B$5)</f>
        <v/>
      </c>
      <c r="F12" s="2">
        <f>IF(ISNUMBER(E12),E12-Parametres!$B$2,"")</f>
        <v/>
      </c>
      <c r="G12" s="2">
        <f>IF(AND(A12&gt;0,ISNUMBER(F12)),F12/A12,"")</f>
        <v/>
      </c>
      <c r="H12" s="2">
        <f>Parametres!$B$3*Parametres!$B$7+A12*Parametres!$B$8</f>
        <v/>
      </c>
      <c r="I12" s="2">
        <f>H12-Parametres!$B$2</f>
        <v/>
      </c>
      <c r="J12" s="2">
        <f>IF(A12=0,"",I12/A12)</f>
        <v/>
      </c>
    </row>
    <row r="13">
      <c r="A13" s="2" t="n">
        <v>1000</v>
      </c>
      <c r="B13" s="2">
        <f>A13*Parametres!$B$4</f>
        <v/>
      </c>
      <c r="C13" s="2">
        <f>B13-Parametres!$B$2</f>
        <v/>
      </c>
      <c r="D13" s="2">
        <f>IF(A13=0,"",C13/A13)</f>
        <v/>
      </c>
      <c r="E13" s="2">
        <f>IF(A13&gt;Parametres!$B$3*Parametres!$B$6,"Hors forfait",Parametres!$B$3*Parametres!$B$5)</f>
        <v/>
      </c>
      <c r="F13" s="2">
        <f>IF(ISNUMBER(E13),E13-Parametres!$B$2,"")</f>
        <v/>
      </c>
      <c r="G13" s="2">
        <f>IF(AND(A13&gt;0,ISNUMBER(F13)),F13/A13,"")</f>
        <v/>
      </c>
      <c r="H13" s="2">
        <f>Parametres!$B$3*Parametres!$B$7+A13*Parametres!$B$8</f>
        <v/>
      </c>
      <c r="I13" s="2">
        <f>H13-Parametres!$B$2</f>
        <v/>
      </c>
      <c r="J13" s="2">
        <f>IF(A13=0,"",I13/A13)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2026-09-24T05:25:42Z</dcterms:created>
  <dcterms:modified xmlns:dcterms="http://purl.org/dc/terms/" xmlns:xsi="http://www.w3.org/2001/XMLSchema-instance" xsi:type="dcterms:W3CDTF">2026-09-24T05:25:42Z</dcterms:modified>
</cp:coreProperties>
</file>