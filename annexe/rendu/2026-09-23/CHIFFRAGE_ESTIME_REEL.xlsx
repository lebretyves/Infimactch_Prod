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s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Méthode" sheetId="3" state="visible" r:id="rId3"/>
    <sheet xmlns:r="http://schemas.openxmlformats.org/officeDocument/2006/relationships" name="Synthèse déclarée" sheetId="4" state="visible" r:id="rId4"/>
  </sheets>
  <definedNames>
    <definedName name="_xlnm._FilterDatabase" localSheetId="0" hidden="1">'Lots'!$A$1:$L$19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155EE8"/>
    </font>
  </fonts>
  <fills count="4">
    <fill>
      <patternFill/>
    </fill>
    <fill>
      <patternFill patternType="gray125"/>
    </fill>
    <fill>
      <patternFill patternType="solid">
        <fgColor rgb="00082F49"/>
      </patternFill>
    </fill>
    <fill>
      <patternFill patternType="solid">
        <fgColor rgb="00EA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64" customWidth="1" min="3" max="3"/>
    <col width="16" customWidth="1" min="4" max="4"/>
    <col width="16" customWidth="1" min="5" max="5"/>
    <col width="19" customWidth="1" min="6" max="6"/>
    <col width="18" customWidth="1" min="7" max="7"/>
    <col width="21" customWidth="1" min="8" max="8"/>
    <col width="21" customWidth="1" min="9" max="9"/>
    <col width="20" customWidth="1" min="10" max="10"/>
    <col width="44" customWidth="1" min="11" max="11"/>
    <col width="44" customWidth="1" min="12" max="12"/>
  </cols>
  <sheetData>
    <row r="1">
      <c r="A1" s="1" t="inlineStr">
        <is>
          <t>Lot</t>
        </is>
      </c>
      <c r="B1" s="1" t="inlineStr">
        <is>
          <t>Domaine</t>
        </is>
      </c>
      <c r="C1" s="1" t="inlineStr">
        <is>
          <t>Fonctionnalité</t>
        </is>
      </c>
      <c r="D1" s="1" t="inlineStr">
        <is>
          <t>Estimé min h</t>
        </is>
      </c>
      <c r="E1" s="1" t="inlineStr">
        <is>
          <t>Estimé max h</t>
        </is>
      </c>
      <c r="F1" s="1" t="inlineStr">
        <is>
          <t>Centre indicatif h</t>
        </is>
      </c>
      <c r="G1" s="1" t="inlineStr">
        <is>
          <t>Réel h à saisir</t>
        </is>
      </c>
      <c r="H1" s="1" t="inlineStr">
        <is>
          <t>Écart h vs centre</t>
        </is>
      </c>
      <c r="I1" s="1" t="inlineStr">
        <is>
          <t>Écart % vs centre</t>
        </is>
      </c>
      <c r="J1" s="1" t="inlineStr">
        <is>
          <t>Position fourchette</t>
        </is>
      </c>
      <c r="K1" s="1" t="inlineStr">
        <is>
          <t>Preuve temps réel</t>
        </is>
      </c>
      <c r="L1" s="1" t="inlineStr">
        <is>
          <t>Explication écart</t>
        </is>
      </c>
    </row>
    <row r="2">
      <c r="A2" s="2" t="inlineStr">
        <is>
          <t>C01</t>
        </is>
      </c>
      <c r="B2" s="2" t="inlineStr">
        <is>
          <t>Collectif</t>
        </is>
      </c>
      <c r="C2" s="2" t="inlineStr">
        <is>
          <t>Cadrage, marché, CDC, règles scénario et go/no-go</t>
        </is>
      </c>
      <c r="D2" s="2" t="n">
        <v>18</v>
      </c>
      <c r="E2" s="2" t="n">
        <v>26</v>
      </c>
      <c r="F2" s="2">
        <f>AVERAGE(D2:E2)</f>
        <v/>
      </c>
      <c r="G2" s="3" t="n"/>
      <c r="H2" s="2">
        <f>IF(ISNUMBER(G2),G2-F2,"")</f>
        <v/>
      </c>
      <c r="I2" s="4">
        <f>IF(ISNUMBER(G2),(G2-F2)/F2,"")</f>
        <v/>
      </c>
      <c r="J2" s="2">
        <f>IF(NOT(ISNUMBER(G2)),"A RENSEIGNER",IF(G2&lt;D2,"SOUS",IF(G2&gt;E2,"AU-DESSUS","DANS")))</f>
        <v/>
      </c>
      <c r="K2" s="3" t="n"/>
      <c r="L2" s="3" t="n"/>
    </row>
    <row r="3">
      <c r="A3" s="2" t="inlineStr">
        <is>
          <t>B01</t>
        </is>
      </c>
      <c r="B3" s="2" t="inlineStr">
        <is>
          <t>Backend</t>
        </is>
      </c>
      <c r="C3" s="2" t="inlineStr">
        <is>
          <t>Bootstrap, Compose, extensions, migrations, contrat API initial</t>
        </is>
      </c>
      <c r="D3" s="2" t="n">
        <v>16</v>
      </c>
      <c r="E3" s="2" t="n">
        <v>24</v>
      </c>
      <c r="F3" s="2">
        <f>AVERAGE(D3:E3)</f>
        <v/>
      </c>
      <c r="G3" s="3" t="n"/>
      <c r="H3" s="2">
        <f>IF(ISNUMBER(G3),G3-F3,"")</f>
        <v/>
      </c>
      <c r="I3" s="4">
        <f>IF(ISNUMBER(G3),(G3-F3)/F3,"")</f>
        <v/>
      </c>
      <c r="J3" s="2">
        <f>IF(NOT(ISNUMBER(G3)),"A RENSEIGNER",IF(G3&lt;D3,"SOUS",IF(G3&gt;E3,"AU-DESSUS","DANS")))</f>
        <v/>
      </c>
      <c r="K3" s="3" t="n"/>
      <c r="L3" s="3" t="n"/>
    </row>
    <row r="4">
      <c r="A4" s="2" t="inlineStr">
        <is>
          <t>B02</t>
        </is>
      </c>
      <c r="B4" s="2" t="inlineStr">
        <is>
          <t>Backend</t>
        </is>
      </c>
      <c r="C4" s="2" t="inlineStr">
        <is>
          <t>Auth, sessions, affiliations, CGU et permissions</t>
        </is>
      </c>
      <c r="D4" s="2" t="n">
        <v>22</v>
      </c>
      <c r="E4" s="2" t="n">
        <v>32</v>
      </c>
      <c r="F4" s="2">
        <f>AVERAGE(D4:E4)</f>
        <v/>
      </c>
      <c r="G4" s="3" t="n"/>
      <c r="H4" s="2">
        <f>IF(ISNUMBER(G4),G4-F4,"")</f>
        <v/>
      </c>
      <c r="I4" s="4">
        <f>IF(ISNUMBER(G4),(G4-F4)/F4,"")</f>
        <v/>
      </c>
      <c r="J4" s="2">
        <f>IF(NOT(ISNUMBER(G4)),"A RENSEIGNER",IF(G4&lt;D4,"SOUS",IF(G4&gt;E4,"AU-DESSUS","DANS")))</f>
        <v/>
      </c>
      <c r="K4" s="3" t="n"/>
      <c r="L4" s="3" t="n"/>
    </row>
    <row r="5">
      <c r="A5" s="2" t="inlineStr">
        <is>
          <t>B03</t>
        </is>
      </c>
      <c r="B5" s="2" t="inlineStr">
        <is>
          <t>Backend</t>
        </is>
      </c>
      <c r="C5" s="2" t="inlineStr">
        <is>
          <t>Profils, FINESS, qualifications et référentiels</t>
        </is>
      </c>
      <c r="D5" s="2" t="n">
        <v>16</v>
      </c>
      <c r="E5" s="2" t="n">
        <v>24</v>
      </c>
      <c r="F5" s="2">
        <f>AVERAGE(D5:E5)</f>
        <v/>
      </c>
      <c r="G5" s="3" t="n"/>
      <c r="H5" s="2">
        <f>IF(ISNUMBER(G5),G5-F5,"")</f>
        <v/>
      </c>
      <c r="I5" s="4">
        <f>IF(ISNUMBER(G5),(G5-F5)/F5,"")</f>
        <v/>
      </c>
      <c r="J5" s="2">
        <f>IF(NOT(ISNUMBER(G5)),"A RENSEIGNER",IF(G5&lt;D5,"SOUS",IF(G5&gt;E5,"AU-DESSUS","DANS")))</f>
        <v/>
      </c>
      <c r="K5" s="3" t="n"/>
      <c r="L5" s="3" t="n"/>
    </row>
    <row r="6">
      <c r="A6" s="2" t="inlineStr">
        <is>
          <t>B04</t>
        </is>
      </c>
      <c r="B6" s="2" t="inlineStr">
        <is>
          <t>Backend</t>
        </is>
      </c>
      <c r="C6" s="2" t="inlineStr">
        <is>
          <t>Disponibilités, historique et favoris</t>
        </is>
      </c>
      <c r="D6" s="2" t="n">
        <v>16</v>
      </c>
      <c r="E6" s="2" t="n">
        <v>24</v>
      </c>
      <c r="F6" s="2">
        <f>AVERAGE(D6:E6)</f>
        <v/>
      </c>
      <c r="G6" s="3" t="n"/>
      <c r="H6" s="2">
        <f>IF(ISNUMBER(G6),G6-F6,"")</f>
        <v/>
      </c>
      <c r="I6" s="4">
        <f>IF(ISNUMBER(G6),(G6-F6)/F6,"")</f>
        <v/>
      </c>
      <c r="J6" s="2">
        <f>IF(NOT(ISNUMBER(G6)),"A RENSEIGNER",IF(G6&lt;D6,"SOUS",IF(G6&gt;E6,"AU-DESSUS","DANS")))</f>
        <v/>
      </c>
      <c r="K6" s="3" t="n"/>
      <c r="L6" s="3" t="n"/>
    </row>
    <row r="7">
      <c r="A7" s="2" t="inlineStr">
        <is>
          <t>B05</t>
        </is>
      </c>
      <c r="B7" s="2" t="inlineStr">
        <is>
          <t>Backend</t>
        </is>
      </c>
      <c r="C7" s="2" t="inlineStr">
        <is>
          <t>Missions, candidatures, consentement et affectation atomique</t>
        </is>
      </c>
      <c r="D7" s="2" t="n">
        <v>28</v>
      </c>
      <c r="E7" s="2" t="n">
        <v>42</v>
      </c>
      <c r="F7" s="2">
        <f>AVERAGE(D7:E7)</f>
        <v/>
      </c>
      <c r="G7" s="3" t="n"/>
      <c r="H7" s="2">
        <f>IF(ISNUMBER(G7),G7-F7,"")</f>
        <v/>
      </c>
      <c r="I7" s="4">
        <f>IF(ISNUMBER(G7),(G7-F7)/F7,"")</f>
        <v/>
      </c>
      <c r="J7" s="2">
        <f>IF(NOT(ISNUMBER(G7)),"A RENSEIGNER",IF(G7&lt;D7,"SOUS",IF(G7&gt;E7,"AU-DESSUS","DANS")))</f>
        <v/>
      </c>
      <c r="K7" s="3" t="n"/>
      <c r="L7" s="3" t="n"/>
    </row>
    <row r="8">
      <c r="A8" s="2" t="inlineStr">
        <is>
          <t>B06</t>
        </is>
      </c>
      <c r="B8" s="2" t="inlineStr">
        <is>
          <t>Backend</t>
        </is>
      </c>
      <c r="C8" s="2" t="inlineStr">
        <is>
          <t>Recherche PostGIS et matching avec traces MongoDB</t>
        </is>
      </c>
      <c r="D8" s="2" t="n">
        <v>22</v>
      </c>
      <c r="E8" s="2" t="n">
        <v>32</v>
      </c>
      <c r="F8" s="2">
        <f>AVERAGE(D8:E8)</f>
        <v/>
      </c>
      <c r="G8" s="3" t="n"/>
      <c r="H8" s="2">
        <f>IF(ISNUMBER(G8),G8-F8,"")</f>
        <v/>
      </c>
      <c r="I8" s="4">
        <f>IF(ISNUMBER(G8),(G8-F8)/F8,"")</f>
        <v/>
      </c>
      <c r="J8" s="2">
        <f>IF(NOT(ISNUMBER(G8)),"A RENSEIGNER",IF(G8&lt;D8,"SOUS",IF(G8&gt;E8,"AU-DESSUS","DANS")))</f>
        <v/>
      </c>
      <c r="K8" s="3" t="n"/>
      <c r="L8" s="3" t="n"/>
    </row>
    <row r="9">
      <c r="A9" s="2" t="inlineStr">
        <is>
          <t>B07</t>
        </is>
      </c>
      <c r="B9" s="2" t="inlineStr">
        <is>
          <t>Backend</t>
        </is>
      </c>
      <c r="C9" s="2" t="inlineStr">
        <is>
          <t>RPPS API, états, reprise et contrôles serveur</t>
        </is>
      </c>
      <c r="D9" s="2" t="n">
        <v>12</v>
      </c>
      <c r="E9" s="2" t="n">
        <v>20</v>
      </c>
      <c r="F9" s="2">
        <f>AVERAGE(D9:E9)</f>
        <v/>
      </c>
      <c r="G9" s="3" t="n"/>
      <c r="H9" s="2">
        <f>IF(ISNUMBER(G9),G9-F9,"")</f>
        <v/>
      </c>
      <c r="I9" s="4">
        <f>IF(ISNUMBER(G9),(G9-F9)/F9,"")</f>
        <v/>
      </c>
      <c r="J9" s="2">
        <f>IF(NOT(ISNUMBER(G9)),"A RENSEIGNER",IF(G9&lt;D9,"SOUS",IF(G9&gt;E9,"AU-DESSUS","DANS")))</f>
        <v/>
      </c>
      <c r="K9" s="3" t="n"/>
      <c r="L9" s="3" t="n"/>
    </row>
    <row r="10">
      <c r="A10" s="2" t="inlineStr">
        <is>
          <t>B08</t>
        </is>
      </c>
      <c r="B10" s="2" t="inlineStr">
        <is>
          <t>Backend</t>
        </is>
      </c>
      <c r="C10" s="2" t="inlineStr">
        <is>
          <t>Import offres API, CLI, nettoyage et manifeste</t>
        </is>
      </c>
      <c r="D10" s="2" t="n">
        <v>18</v>
      </c>
      <c r="E10" s="2" t="n">
        <v>28</v>
      </c>
      <c r="F10" s="2">
        <f>AVERAGE(D10:E10)</f>
        <v/>
      </c>
      <c r="G10" s="3" t="n"/>
      <c r="H10" s="2">
        <f>IF(ISNUMBER(G10),G10-F10,"")</f>
        <v/>
      </c>
      <c r="I10" s="4">
        <f>IF(ISNUMBER(G10),(G10-F10)/F10,"")</f>
        <v/>
      </c>
      <c r="J10" s="2">
        <f>IF(NOT(ISNUMBER(G10)),"A RENSEIGNER",IF(G10&lt;D10,"SOUS",IF(G10&gt;E10,"AU-DESSUS","DANS")))</f>
        <v/>
      </c>
      <c r="K10" s="3" t="n"/>
      <c r="L10" s="3" t="n"/>
    </row>
    <row r="11">
      <c r="A11" s="2" t="inlineStr">
        <is>
          <t>B09</t>
        </is>
      </c>
      <c r="B11" s="2" t="inlineStr">
        <is>
          <t>Backend</t>
        </is>
      </c>
      <c r="C11" s="2" t="inlineStr">
        <is>
          <t>RIB et justificatif privés, chiffrement et rotation</t>
        </is>
      </c>
      <c r="D11" s="2" t="n">
        <v>16</v>
      </c>
      <c r="E11" s="2" t="n">
        <v>24</v>
      </c>
      <c r="F11" s="2">
        <f>AVERAGE(D11:E11)</f>
        <v/>
      </c>
      <c r="G11" s="3" t="n"/>
      <c r="H11" s="2">
        <f>IF(ISNUMBER(G11),G11-F11,"")</f>
        <v/>
      </c>
      <c r="I11" s="4">
        <f>IF(ISNUMBER(G11),(G11-F11)/F11,"")</f>
        <v/>
      </c>
      <c r="J11" s="2">
        <f>IF(NOT(ISNUMBER(G11)),"A RENSEIGNER",IF(G11&lt;D11,"SOUS",IF(G11&gt;E11,"AU-DESSUS","DANS")))</f>
        <v/>
      </c>
      <c r="K11" s="3" t="n"/>
      <c r="L11" s="3" t="n"/>
    </row>
    <row r="12">
      <c r="A12" s="2" t="inlineStr">
        <is>
          <t>B10</t>
        </is>
      </c>
      <c r="B12" s="2" t="inlineStr">
        <is>
          <t>Backend</t>
        </is>
      </c>
      <c r="C12" s="2" t="inlineStr">
        <is>
          <t>Trois workflows, outbox et confirmation PDF</t>
        </is>
      </c>
      <c r="D12" s="2" t="n">
        <v>22</v>
      </c>
      <c r="E12" s="2" t="n">
        <v>34</v>
      </c>
      <c r="F12" s="2">
        <f>AVERAGE(D12:E12)</f>
        <v/>
      </c>
      <c r="G12" s="3" t="n"/>
      <c r="H12" s="2">
        <f>IF(ISNUMBER(G12),G12-F12,"")</f>
        <v/>
      </c>
      <c r="I12" s="4">
        <f>IF(ISNUMBER(G12),(G12-F12)/F12,"")</f>
        <v/>
      </c>
      <c r="J12" s="2">
        <f>IF(NOT(ISNUMBER(G12)),"A RENSEIGNER",IF(G12&lt;D12,"SOUS",IF(G12&gt;E12,"AU-DESSUS","DANS")))</f>
        <v/>
      </c>
      <c r="K12" s="3" t="n"/>
      <c r="L12" s="3" t="n"/>
    </row>
    <row r="13">
      <c r="A13" s="2" t="inlineStr">
        <is>
          <t>F01</t>
        </is>
      </c>
      <c r="B13" s="2" t="inlineStr">
        <is>
          <t>Frontend</t>
        </is>
      </c>
      <c r="C13" s="2" t="inlineStr">
        <is>
          <t>Écrans comptes, profils, recherche, calendriers et dashboards</t>
        </is>
      </c>
      <c r="D13" s="2" t="n">
        <v>44</v>
      </c>
      <c r="E13" s="2" t="n">
        <v>64</v>
      </c>
      <c r="F13" s="2">
        <f>AVERAGE(D13:E13)</f>
        <v/>
      </c>
      <c r="G13" s="3" t="n"/>
      <c r="H13" s="2">
        <f>IF(ISNUMBER(G13),G13-F13,"")</f>
        <v/>
      </c>
      <c r="I13" s="4">
        <f>IF(ISNUMBER(G13),(G13-F13)/F13,"")</f>
        <v/>
      </c>
      <c r="J13" s="2">
        <f>IF(NOT(ISNUMBER(G13)),"A RENSEIGNER",IF(G13&lt;D13,"SOUS",IF(G13&gt;E13,"AU-DESSUS","DANS")))</f>
        <v/>
      </c>
      <c r="K13" s="3" t="n"/>
      <c r="L13" s="3" t="n"/>
    </row>
    <row r="14">
      <c r="A14" s="2" t="inlineStr">
        <is>
          <t>F02</t>
        </is>
      </c>
      <c r="B14" s="2" t="inlineStr">
        <is>
          <t>Frontend</t>
        </is>
      </c>
      <c r="C14" s="2" t="inlineStr">
        <is>
          <t>Responsive, accessibilité, SEO et pratiques RGESN</t>
        </is>
      </c>
      <c r="D14" s="2" t="n">
        <v>14</v>
      </c>
      <c r="E14" s="2" t="n">
        <v>22</v>
      </c>
      <c r="F14" s="2">
        <f>AVERAGE(D14:E14)</f>
        <v/>
      </c>
      <c r="G14" s="3" t="n"/>
      <c r="H14" s="2">
        <f>IF(ISNUMBER(G14),G14-F14,"")</f>
        <v/>
      </c>
      <c r="I14" s="4">
        <f>IF(ISNUMBER(G14),(G14-F14)/F14,"")</f>
        <v/>
      </c>
      <c r="J14" s="2">
        <f>IF(NOT(ISNUMBER(G14)),"A RENSEIGNER",IF(G14&lt;D14,"SOUS",IF(G14&gt;E14,"AU-DESSUS","DANS")))</f>
        <v/>
      </c>
      <c r="K14" s="3" t="n"/>
      <c r="L14" s="3" t="n"/>
    </row>
    <row r="15">
      <c r="A15" s="2" t="inlineStr">
        <is>
          <t>Q01</t>
        </is>
      </c>
      <c r="B15" s="2" t="inlineStr">
        <is>
          <t>Qualité</t>
        </is>
      </c>
      <c r="C15" s="2" t="inlineStr">
        <is>
          <t>Tests dédiés unitaires/intégration, concurrence et coverage</t>
        </is>
      </c>
      <c r="D15" s="2" t="n">
        <v>26</v>
      </c>
      <c r="E15" s="2" t="n">
        <v>40</v>
      </c>
      <c r="F15" s="2">
        <f>AVERAGE(D15:E15)</f>
        <v/>
      </c>
      <c r="G15" s="3" t="n"/>
      <c r="H15" s="2">
        <f>IF(ISNUMBER(G15),G15-F15,"")</f>
        <v/>
      </c>
      <c r="I15" s="4">
        <f>IF(ISNUMBER(G15),(G15-F15)/F15,"")</f>
        <v/>
      </c>
      <c r="J15" s="2">
        <f>IF(NOT(ISNUMBER(G15)),"A RENSEIGNER",IF(G15&lt;D15,"SOUS",IF(G15&gt;E15,"AU-DESSUS","DANS")))</f>
        <v/>
      </c>
      <c r="K15" s="3" t="n"/>
      <c r="L15" s="3" t="n"/>
    </row>
    <row r="16">
      <c r="A16" s="2" t="inlineStr">
        <is>
          <t>Q02</t>
        </is>
      </c>
      <c r="B16" s="2" t="inlineStr">
        <is>
          <t>Qualité</t>
        </is>
      </c>
      <c r="C16" s="2" t="inlineStr">
        <is>
          <t>Recette sécurité, TLS, sauvegardes, restauration et incident</t>
        </is>
      </c>
      <c r="D16" s="2" t="n">
        <v>18</v>
      </c>
      <c r="E16" s="2" t="n">
        <v>28</v>
      </c>
      <c r="F16" s="2">
        <f>AVERAGE(D16:E16)</f>
        <v/>
      </c>
      <c r="G16" s="3" t="n"/>
      <c r="H16" s="2">
        <f>IF(ISNUMBER(G16),G16-F16,"")</f>
        <v/>
      </c>
      <c r="I16" s="4">
        <f>IF(ISNUMBER(G16),(G16-F16)/F16,"")</f>
        <v/>
      </c>
      <c r="J16" s="2">
        <f>IF(NOT(ISNUMBER(G16)),"A RENSEIGNER",IF(G16&lt;D16,"SOUS",IF(G16&gt;E16,"AU-DESSUS","DANS")))</f>
        <v/>
      </c>
      <c r="K16" s="3" t="n"/>
      <c r="L16" s="3" t="n"/>
    </row>
    <row r="17">
      <c r="A17" s="2" t="inlineStr">
        <is>
          <t>Q03</t>
        </is>
      </c>
      <c r="B17" s="2" t="inlineStr">
        <is>
          <t>Qualité</t>
        </is>
      </c>
      <c r="C17" s="2" t="inlineStr">
        <is>
          <t>Recette collective et corrections transverses</t>
        </is>
      </c>
      <c r="D17" s="2" t="n">
        <v>18</v>
      </c>
      <c r="E17" s="2" t="n">
        <v>30</v>
      </c>
      <c r="F17" s="2">
        <f>AVERAGE(D17:E17)</f>
        <v/>
      </c>
      <c r="G17" s="3" t="n"/>
      <c r="H17" s="2">
        <f>IF(ISNUMBER(G17),G17-F17,"")</f>
        <v/>
      </c>
      <c r="I17" s="4">
        <f>IF(ISNUMBER(G17),(G17-F17)/F17,"")</f>
        <v/>
      </c>
      <c r="J17" s="2">
        <f>IF(NOT(ISNUMBER(G17)),"A RENSEIGNER",IF(G17&lt;D17,"SOUS",IF(G17&gt;E17,"AU-DESSUS","DANS")))</f>
        <v/>
      </c>
      <c r="K17" s="3" t="n"/>
      <c r="L17" s="3" t="n"/>
    </row>
    <row r="18">
      <c r="A18" s="2" t="inlineStr">
        <is>
          <t>D01</t>
        </is>
      </c>
      <c r="B18" s="2" t="inlineStr">
        <is>
          <t>Collectif</t>
        </is>
      </c>
      <c r="C18" s="2" t="inlineStr">
        <is>
          <t>README, matrice, exports, temps réels et pitch</t>
        </is>
      </c>
      <c r="D18" s="2" t="n">
        <v>14</v>
      </c>
      <c r="E18" s="2" t="n">
        <v>22</v>
      </c>
      <c r="F18" s="2">
        <f>AVERAGE(D18:E18)</f>
        <v/>
      </c>
      <c r="G18" s="3" t="n"/>
      <c r="H18" s="2">
        <f>IF(ISNUMBER(G18),G18-F18,"")</f>
        <v/>
      </c>
      <c r="I18" s="4">
        <f>IF(ISNUMBER(G18),(G18-F18)/F18,"")</f>
        <v/>
      </c>
      <c r="J18" s="2">
        <f>IF(NOT(ISNUMBER(G18)),"A RENSEIGNER",IF(G18&lt;D18,"SOUS",IF(G18&gt;E18,"AU-DESSUS","DANS")))</f>
        <v/>
      </c>
      <c r="K18" s="3" t="n"/>
      <c r="L18" s="3" t="n"/>
    </row>
    <row r="19">
      <c r="A19" s="2" t="inlineStr">
        <is>
          <t>D02</t>
        </is>
      </c>
      <c r="B19" s="2" t="inlineStr">
        <is>
          <t>Collectif</t>
        </is>
      </c>
      <c r="C19" s="2" t="inlineStr">
        <is>
          <t>Répétition et livraison propre</t>
        </is>
      </c>
      <c r="D19" s="2" t="n">
        <v>8</v>
      </c>
      <c r="E19" s="2" t="n">
        <v>12</v>
      </c>
      <c r="F19" s="2">
        <f>AVERAGE(D19:E19)</f>
        <v/>
      </c>
      <c r="G19" s="3" t="n"/>
      <c r="H19" s="2">
        <f>IF(ISNUMBER(G19),G19-F19,"")</f>
        <v/>
      </c>
      <c r="I19" s="4">
        <f>IF(ISNUMBER(G19),(G19-F19)/F19,"")</f>
        <v/>
      </c>
      <c r="J19" s="2">
        <f>IF(NOT(ISNUMBER(G19)),"A RENSEIGNER",IF(G19&lt;D19,"SOUS",IF(G19&gt;E19,"AU-DESSUS","DANS")))</f>
        <v/>
      </c>
      <c r="K19" s="3" t="n"/>
      <c r="L19" s="3" t="n"/>
    </row>
    <row r="20">
      <c r="A20" s="2" t="inlineStr">
        <is>
          <t>TOTAL</t>
        </is>
      </c>
      <c r="B20" s="2" t="n"/>
      <c r="C20" s="2" t="n"/>
      <c r="D20" s="2">
        <f>SUM(D2:D19)</f>
        <v/>
      </c>
      <c r="E20" s="2">
        <f>SUM(E2:E19)</f>
        <v/>
      </c>
      <c r="F20" s="2">
        <f>SUM(F2:F19)</f>
        <v/>
      </c>
      <c r="G20" s="3">
        <f>IF(COUNT(G2:G19)=18,SUM(G2:G19),"INCOMPLET")</f>
        <v/>
      </c>
      <c r="H20" s="2">
        <f>IF(ISNUMBER(G20),G20-F20,"")</f>
        <v/>
      </c>
      <c r="I20" s="4">
        <f>IF(ISNUMBER(G20),(G20-F20)/F20,"")</f>
        <v/>
      </c>
      <c r="J20" s="2" t="n"/>
      <c r="K20" s="3" t="n"/>
      <c r="L20" s="3" t="n"/>
    </row>
  </sheetData>
  <autoFilter ref="A1:L19"/>
  <dataValidations count="1">
    <dataValidation sqref="G2:G19" showDropDown="0" showInputMessage="0" showErrorMessage="1" allowBlank="1" error="Saisir des heures positives ou nulles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65" customWidth="1" min="4" max="4"/>
    <col width="20" customWidth="1" min="5" max="5"/>
    <col width="60" customWidth="1" min="6" max="6"/>
  </cols>
  <sheetData>
    <row r="1">
      <c r="A1" t="inlineStr">
        <is>
          <t>Date</t>
        </is>
      </c>
      <c r="B1" t="inlineStr">
        <is>
          <t>Personne</t>
        </is>
      </c>
      <c r="C1" t="inlineStr">
        <is>
          <t>Lot</t>
        </is>
      </c>
      <c r="D1" t="inlineStr">
        <is>
          <t>Activité</t>
        </is>
      </c>
      <c r="E1" t="inlineStr">
        <is>
          <t>Heures réelles</t>
        </is>
      </c>
      <c r="F1" t="inlineStr">
        <is>
          <t>Justificatif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Fourchette historique conservée. Centre indicatif = repère calculé.</t>
        </is>
      </c>
    </row>
    <row r="2">
      <c r="A2" t="inlineStr">
        <is>
          <t>Les heures réelles ne se déduisent pas des commits ou des sessions agent.</t>
        </is>
      </c>
    </row>
    <row r="3">
      <c r="A3" t="inlineStr">
        <is>
          <t>Renseigner Lots avec les preuves ; Journal est une aide sans consolidation automatique.</t>
        </is>
      </c>
    </row>
    <row r="4">
      <c r="A4" t="inlineStr">
        <is>
          <t>Total réel INCOMPLET tant que les 18 lots ne sont pas renseignés.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t="inlineStr">
        <is>
          <t>Déclaration équipe du 24/09/2026</t>
        </is>
      </c>
      <c r="B1" t="inlineStr">
        <is>
          <t>Valeur</t>
        </is>
      </c>
    </row>
    <row r="2">
      <c r="A2" t="inlineStr">
        <is>
          <t>Personnes</t>
        </is>
      </c>
      <c r="B2" t="n">
        <v>4</v>
      </c>
    </row>
    <row r="3">
      <c r="A3" t="inlineStr">
        <is>
          <t>Jours</t>
        </is>
      </c>
      <c r="B3" t="n">
        <v>11</v>
      </c>
    </row>
    <row r="4">
      <c r="A4" t="inlineStr">
        <is>
          <t>Heures/jour minimum</t>
        </is>
      </c>
      <c r="B4" t="n">
        <v>7</v>
      </c>
    </row>
    <row r="5">
      <c r="A5" t="inlineStr">
        <is>
          <t>Heures/soir approximatives</t>
        </is>
      </c>
      <c r="B5" t="n">
        <v>2</v>
      </c>
    </row>
    <row r="6">
      <c r="A6" t="inlineStr">
        <is>
          <t>Total reconstitué</t>
        </is>
      </c>
      <c r="B6">
        <f>B2*B3*(B4+B5)</f>
        <v/>
      </c>
    </row>
    <row r="7">
      <c r="A7" t="inlineStr">
        <is>
          <t>Capacité initiale 5 personnes</t>
        </is>
      </c>
      <c r="B7" t="n">
        <v>385</v>
      </c>
    </row>
    <row r="8">
      <c r="A8" t="inlineStr">
        <is>
          <t>Écart heures</t>
        </is>
      </c>
      <c r="B8">
        <f>B6-B7</f>
        <v/>
      </c>
    </row>
    <row r="9">
      <c r="A9" t="inlineStr">
        <is>
          <t>Ventilation par lot</t>
        </is>
      </c>
      <c r="B9" t="inlineStr">
        <is>
          <t>Non fournie : ne pas inventer</t>
        </is>
      </c>
    </row>
    <row r="10">
      <c r="A10" t="inlineStr">
        <is>
          <t>Détail coût</t>
        </is>
      </c>
      <c r="B10" t="inlineStr">
        <is>
          <t>Voir COUTS_PRODUCTION.xlsx et 09_COUTS_PRODUCTION.md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2026-09-23T18:00:39Z</dcterms:created>
  <dcterms:modified xmlns:dcterms="http://purl.org/dc/terms/" xmlns:xsi="http://www.w3.org/2001/XMLSchema-instance" xsi:type="dcterms:W3CDTF">2026-09-24T05:06:18Z</dcterms:modified>
</cp:coreProperties>
</file>