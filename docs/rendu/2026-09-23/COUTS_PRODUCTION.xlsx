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Realisation" sheetId="3" state="visible" r:id="rId3"/>
    <sheet xmlns:r="http://schemas.openxmlformats.org/officeDocument/2006/relationships" name="Exploitation" sheetId="4" state="visible" r:id="rId4"/>
    <sheet xmlns:r="http://schemas.openxmlformats.org/officeDocument/2006/relationships" name="Cyc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8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65" customWidth="1" min="5" max="5"/>
    <col width="65" customWidth="1" min="6" max="6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Personnes prévues</t>
        </is>
      </c>
      <c r="B2" s="2" t="n">
        <v>5</v>
      </c>
    </row>
    <row r="3">
      <c r="A3" t="inlineStr">
        <is>
          <t>Personnes effectives</t>
        </is>
      </c>
      <c r="B3" s="2" t="n">
        <v>4</v>
      </c>
    </row>
    <row r="4">
      <c r="A4" t="inlineStr">
        <is>
          <t>Jours</t>
        </is>
      </c>
      <c r="B4" s="2" t="n">
        <v>11</v>
      </c>
    </row>
    <row r="5">
      <c r="A5" t="inlineStr">
        <is>
          <t>Heures de journée</t>
        </is>
      </c>
      <c r="B5" s="2" t="n">
        <v>7</v>
      </c>
    </row>
    <row r="6">
      <c r="A6" t="inlineStr">
        <is>
          <t>Heures du soir approximatives</t>
        </is>
      </c>
      <c r="B6" s="2" t="n">
        <v>2</v>
      </c>
    </row>
    <row r="7">
      <c r="A7" t="inlineStr">
        <is>
          <t>Brut annuel EUR</t>
        </is>
      </c>
      <c r="B7" s="2" t="n">
        <v>41000</v>
      </c>
    </row>
    <row r="8">
      <c r="A8" t="inlineStr">
        <is>
          <t>Heures payées annuelles</t>
        </is>
      </c>
      <c r="B8" s="2" t="n">
        <v>1820</v>
      </c>
    </row>
    <row r="9">
      <c r="A9" t="inlineStr">
        <is>
          <t>Charges employeur hypothèse</t>
        </is>
      </c>
      <c r="B9" s="2" t="n">
        <v>0.42</v>
      </c>
    </row>
    <row r="10">
      <c r="A10" t="inlineStr">
        <is>
          <t>EUR pour 1 USD, convention</t>
        </is>
      </c>
      <c r="B10" s="2" t="n">
        <v>1</v>
      </c>
    </row>
    <row r="11">
      <c r="A11" t="inlineStr">
        <is>
          <t>Poste HT EUR</t>
        </is>
      </c>
      <c r="B11" s="2" t="n">
        <v>2000</v>
      </c>
    </row>
    <row r="12">
      <c r="A12" t="inlineStr">
        <is>
          <t>Durée années</t>
        </is>
      </c>
      <c r="B12" s="2" t="n">
        <v>3</v>
      </c>
    </row>
    <row r="13">
      <c r="A13" t="inlineStr">
        <is>
          <t>Jours utilisation par an</t>
        </is>
      </c>
      <c r="B13" s="2" t="n">
        <v>220</v>
      </c>
    </row>
    <row r="14">
      <c r="A14" t="inlineStr">
        <is>
          <t>Postes maintenance</t>
        </is>
      </c>
      <c r="B14" s="2" t="n">
        <v>1</v>
      </c>
    </row>
    <row r="15">
      <c r="A15" t="inlineStr">
        <is>
          <t>Connexion énergie EUR/mois</t>
        </is>
      </c>
      <c r="B15" s="2" t="n">
        <v>40</v>
      </c>
    </row>
    <row r="16">
      <c r="A16" t="inlineStr">
        <is>
          <t>Réserve technique</t>
        </is>
      </c>
      <c r="B16" s="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65" customWidth="1" min="5" max="5"/>
    <col width="65" customWidth="1" min="6" max="6"/>
  </cols>
  <sheetData>
    <row r="1">
      <c r="A1" s="1" t="inlineStr">
        <is>
          <t>Service</t>
        </is>
      </c>
      <c r="B1" s="1" t="inlineStr">
        <is>
          <t>Montant mensuel</t>
        </is>
      </c>
      <c r="C1" s="1" t="inlineStr">
        <is>
          <t>Devise</t>
        </is>
      </c>
      <c r="D1" s="1" t="inlineStr">
        <is>
          <t>EUR/mois</t>
        </is>
      </c>
      <c r="E1" s="1" t="inlineStr">
        <is>
          <t>Périmètre</t>
        </is>
      </c>
      <c r="F1" s="1" t="inlineStr">
        <is>
          <t>Source</t>
        </is>
      </c>
    </row>
    <row r="2">
      <c r="A2" t="inlineStr">
        <is>
          <t>Vercel Pro</t>
        </is>
      </c>
      <c r="B2" s="2" t="n">
        <v>20</v>
      </c>
      <c r="C2" t="inlineStr">
        <is>
          <t>USD</t>
        </is>
      </c>
      <c r="D2" s="2">
        <f>B2*IF(C2="USD",Hypotheses!B10,1)</f>
        <v/>
      </c>
      <c r="E2" t="inlineStr">
        <is>
          <t>1 siège déployant, crédit de consommation inclus</t>
        </is>
      </c>
      <c r="F2" t="inlineStr">
        <is>
          <t>https://vercel.com/docs/plans/pro-plan</t>
        </is>
      </c>
    </row>
    <row r="3">
      <c r="A3" t="inlineStr">
        <is>
          <t>Supabase Pro</t>
        </is>
      </c>
      <c r="B3" s="2" t="n">
        <v>25</v>
      </c>
      <c r="C3" t="inlineStr">
        <is>
          <t>USD</t>
        </is>
      </c>
      <c r="D3" s="2">
        <f>B3*IF(C3="USD",Hypotheses!B10,1)</f>
        <v/>
      </c>
      <c r="E3" t="inlineStr">
        <is>
          <t>1 projet Micro, crédit compute déduit</t>
        </is>
      </c>
      <c r="F3" t="inlineStr">
        <is>
          <t>https://supabase.com/pricing</t>
        </is>
      </c>
    </row>
    <row r="4">
      <c r="A4" t="inlineStr">
        <is>
          <t>MongoDB Atlas M10</t>
        </is>
      </c>
      <c r="B4" s="2" t="n">
        <v>58.4</v>
      </c>
      <c r="C4" t="inlineStr">
        <is>
          <t>USD</t>
        </is>
      </c>
      <c r="D4" s="2">
        <f>B4*IF(C4="USD",Hypotheses!B10,1)</f>
        <v/>
      </c>
      <c r="E4" t="inlineStr">
        <is>
          <t>Prix de départ 0,08 USD/h × 730 h, région à confirmer</t>
        </is>
      </c>
      <c r="F4" t="inlineStr">
        <is>
          <t>https://www.mongodb.com/pricing</t>
        </is>
      </c>
    </row>
    <row r="5">
      <c r="A5" t="inlineStr">
        <is>
          <t>n8n Cloud Pro</t>
        </is>
      </c>
      <c r="B5" s="2" t="n">
        <v>50</v>
      </c>
      <c r="C5" t="inlineStr">
        <is>
          <t>EUR</t>
        </is>
      </c>
      <c r="D5" s="2">
        <f>B5*IF(C5="USD",Hypotheses!B10,1)</f>
        <v/>
      </c>
      <c r="E5" t="inlineStr">
        <is>
          <t>10 000 exécutions/mois, facturation annuelle 600 EUR</t>
        </is>
      </c>
      <c r="F5" t="inlineStr">
        <is>
          <t>https://n8n.io/pricing/</t>
        </is>
      </c>
    </row>
    <row r="6">
      <c r="A6" t="inlineStr">
        <is>
          <t>SMTP2GO Starter</t>
        </is>
      </c>
      <c r="B6" s="2" t="n">
        <v>10</v>
      </c>
      <c r="C6" t="inlineStr">
        <is>
          <t>USD</t>
        </is>
      </c>
      <c r="D6" s="2">
        <f>B6*IF(C6="USD",Hypotheses!B10,1)</f>
        <v/>
      </c>
      <c r="E6" t="inlineStr">
        <is>
          <t>10 000 emails/mois, tarif du corps de la page à confirmer à la commande</t>
        </is>
      </c>
      <c r="F6" t="inlineStr">
        <is>
          <t>https://www.smtp2go.com/pricing/</t>
        </is>
      </c>
    </row>
    <row r="7">
      <c r="A7" t="inlineStr">
        <is>
          <t>JobsPipe Builder</t>
        </is>
      </c>
      <c r="B7" s="2" t="n">
        <v>49</v>
      </c>
      <c r="C7" t="inlineStr">
        <is>
          <t>USD</t>
        </is>
      </c>
      <c r="D7" s="2">
        <f>B7*IF(C7="USD",Hypotheses!B10,1)</f>
        <v/>
      </c>
      <c r="E7" t="inlineStr">
        <is>
          <t>25 000 annonces distinctes/mois ; pas 25 000 missions validées</t>
        </is>
      </c>
      <c r="F7" t="inlineStr">
        <is>
          <t>https://jobspipe.dev/pricing</t>
        </is>
      </c>
    </row>
    <row r="8">
      <c r="A8" t="inlineStr">
        <is>
          <t>GitHub Team</t>
        </is>
      </c>
      <c r="B8" s="2" t="n">
        <v>16</v>
      </c>
      <c r="C8" t="inlineStr">
        <is>
          <t>USD</t>
        </is>
      </c>
      <c r="D8" s="2">
        <f>B8*IF(C8="USD",Hypotheses!B10,1)</f>
        <v/>
      </c>
      <c r="E8" t="inlineStr">
        <is>
          <t>4 utilisateurs × 4 USD ; une organisation payante modélisée</t>
        </is>
      </c>
      <c r="F8" t="inlineStr">
        <is>
          <t>https://github.com/pricing</t>
        </is>
      </c>
    </row>
    <row r="9">
      <c r="A9" t="inlineStr">
        <is>
          <t>Hébergement Vault Community</t>
        </is>
      </c>
      <c r="B9" s="2" t="n">
        <v>10</v>
      </c>
      <c r="C9" t="inlineStr">
        <is>
          <t>EUR</t>
        </is>
      </c>
      <c r="D9" s="2">
        <f>B9*IF(C9="USD",Hypotheses!B10,1)</f>
        <v/>
      </c>
      <c r="E9" t="inlineStr">
        <is>
          <t>Provision serveur ; architecture cible, aucune migration effectuée</t>
        </is>
      </c>
    </row>
    <row r="10">
      <c r="A10" t="inlineStr">
        <is>
          <t>Sauvegardes externes chiffrées</t>
        </is>
      </c>
      <c r="B10" s="2" t="n">
        <v>10</v>
      </c>
      <c r="C10" t="inlineStr">
        <is>
          <t>EUR</t>
        </is>
      </c>
      <c r="D10" s="2">
        <f>B10*IF(C10="USD",Hypotheses!B10,1)</f>
        <v/>
      </c>
      <c r="E10" t="inlineStr">
        <is>
          <t>Provision stockage, transferts à mesurer</t>
        </is>
      </c>
    </row>
    <row r="11">
      <c r="A11" t="inlineStr">
        <is>
          <t>Supervision</t>
        </is>
      </c>
      <c r="B11" s="2" t="n">
        <v>15</v>
      </c>
      <c r="C11" t="inlineStr">
        <is>
          <t>EUR</t>
        </is>
      </c>
      <c r="D11" s="2">
        <f>B11*IF(C11="USD",Hypotheses!B10,1)</f>
        <v/>
      </c>
      <c r="E11" t="inlineStr">
        <is>
          <t>Provision outil de surveillance</t>
        </is>
      </c>
    </row>
    <row r="12">
      <c r="A12" t="inlineStr">
        <is>
          <t>Domaine</t>
        </is>
      </c>
      <c r="B12" s="2" t="n">
        <v>1.666666666666667</v>
      </c>
      <c r="C12" t="inlineStr">
        <is>
          <t>EUR</t>
        </is>
      </c>
      <c r="D12" s="2">
        <f>B12*IF(C12="USD",Hypotheses!B10,1)</f>
        <v/>
      </c>
      <c r="E12" t="inlineStr">
        <is>
          <t>Provision renouvellement 20 EUR/an</t>
        </is>
      </c>
    </row>
    <row r="13">
      <c r="A13" t="inlineStr">
        <is>
          <t>TOTAL</t>
        </is>
      </c>
      <c r="D13" s="2">
        <f>SUM(D2:D12)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65" customWidth="1" min="5" max="5"/>
    <col width="65" customWidth="1" min="6" max="6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Capacité initiale heures</t>
        </is>
      </c>
      <c r="B2" s="2">
        <f>Hypotheses!B2*Hypotheses!B4*Hypotheses!B5</f>
        <v/>
      </c>
    </row>
    <row r="3">
      <c r="A3" t="inlineStr">
        <is>
          <t>Journées heures</t>
        </is>
      </c>
      <c r="B3" s="2">
        <f>Hypotheses!B3*Hypotheses!B4*Hypotheses!B5</f>
        <v/>
      </c>
    </row>
    <row r="4">
      <c r="A4" t="inlineStr">
        <is>
          <t>Soirées heures</t>
        </is>
      </c>
      <c r="B4" s="2">
        <f>Hypotheses!B3*Hypotheses!B4*Hypotheses!B6</f>
        <v/>
      </c>
    </row>
    <row r="5">
      <c r="A5" t="inlineStr">
        <is>
          <t>Total déclaré heures</t>
        </is>
      </c>
      <c r="B5" s="2">
        <f>B3+B4</f>
        <v/>
      </c>
    </row>
    <row r="6">
      <c r="A6" t="inlineStr">
        <is>
          <t>Taux brut horaire</t>
        </is>
      </c>
      <c r="B6" s="2">
        <f>Hypotheses!B7/Hypotheses!B8</f>
        <v/>
      </c>
    </row>
    <row r="7">
      <c r="A7" t="inlineStr">
        <is>
          <t>Travail brut</t>
        </is>
      </c>
      <c r="B7" s="2">
        <f>B5*B6</f>
        <v/>
      </c>
    </row>
    <row r="8">
      <c r="A8" t="inlineStr">
        <is>
          <t>Achat quatre postes</t>
        </is>
      </c>
      <c r="B8" s="2">
        <f>Hypotheses!B3*Hypotheses!B11</f>
        <v/>
      </c>
    </row>
    <row r="9">
      <c r="A9" t="inlineStr">
        <is>
          <t>Amortissement affecté</t>
        </is>
      </c>
      <c r="B9" s="2">
        <f>B8/Hypotheses!B12/Hypotheses!B13*Hypotheses!B4</f>
        <v/>
      </c>
    </row>
    <row r="10">
      <c r="A10" t="inlineStr">
        <is>
          <t>Brut + matériel</t>
        </is>
      </c>
      <c r="B10" s="2">
        <f>B7+B9</f>
        <v/>
      </c>
    </row>
    <row r="11">
      <c r="A11" t="inlineStr">
        <is>
          <t>Employeur + matériel</t>
        </is>
      </c>
      <c r="B11" s="2">
        <f>B7*(1+Hypotheses!B9)+B9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65" customWidth="1" min="5" max="5"/>
    <col width="65" customWidth="1" min="6" max="6"/>
  </cols>
  <sheetData>
    <row r="1">
      <c r="A1" s="1" t="inlineStr">
        <is>
          <t>Poste</t>
        </is>
      </c>
      <c r="B1" s="1" t="inlineStr">
        <is>
          <t>EUR/mois</t>
        </is>
      </c>
    </row>
    <row r="2">
      <c r="A2" t="inlineStr">
        <is>
          <t>Maintenance employeur</t>
        </is>
      </c>
      <c r="B2" s="2">
        <f>Hypotheses!B7*(1+Hypotheses!B9)/12</f>
        <v/>
      </c>
    </row>
    <row r="3">
      <c r="A3" t="inlineStr">
        <is>
          <t>Services</t>
        </is>
      </c>
      <c r="B3" s="2">
        <f>Services!D13</f>
        <v/>
      </c>
    </row>
    <row r="4">
      <c r="A4" t="inlineStr">
        <is>
          <t>Réserve</t>
        </is>
      </c>
      <c r="B4" s="2">
        <f>B3*Hypotheses!B16</f>
        <v/>
      </c>
    </row>
    <row r="5">
      <c r="A5" t="inlineStr">
        <is>
          <t>Amortissement poste</t>
        </is>
      </c>
      <c r="B5" s="2">
        <f>Hypotheses!B11*Hypotheses!B14/Hypotheses!B12/12</f>
        <v/>
      </c>
    </row>
    <row r="6">
      <c r="A6" t="inlineStr">
        <is>
          <t>Connexion énergie</t>
        </is>
      </c>
      <c r="B6" s="2">
        <f>Hypotheses!B15</f>
        <v/>
      </c>
    </row>
    <row r="7">
      <c r="A7" t="inlineStr">
        <is>
          <t>TOTAL</t>
        </is>
      </c>
      <c r="B7" s="2">
        <f>SUM(B2:B6)</f>
        <v/>
      </c>
    </row>
    <row r="8">
      <c r="A8" t="inlineStr">
        <is>
          <t>TOTAL ANNUEL</t>
        </is>
      </c>
      <c r="B8" s="2">
        <f>B7*12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65" customWidth="1" min="5" max="5"/>
    <col width="65" customWidth="1" min="6" max="6"/>
  </cols>
  <sheetData>
    <row r="1">
      <c r="A1" s="1" t="inlineStr">
        <is>
          <t>Validations/mois</t>
        </is>
      </c>
      <c r="B1" s="1" t="inlineStr">
        <is>
          <t>EUR/validation</t>
        </is>
      </c>
      <c r="C1" s="1" t="inlineStr">
        <is>
          <t>Exécutions n8n illustratives</t>
        </is>
      </c>
    </row>
    <row r="2">
      <c r="A2" s="2" t="n">
        <v>100</v>
      </c>
      <c r="B2" s="2">
        <f>Exploitation!B7/A2</f>
        <v/>
      </c>
      <c r="C2" s="2">
        <f>(300+8*A2)*1.1</f>
        <v/>
      </c>
    </row>
    <row r="3">
      <c r="A3" s="2" t="n">
        <v>500</v>
      </c>
      <c r="B3" s="2">
        <f>Exploitation!B7/A3</f>
        <v/>
      </c>
      <c r="C3" s="2">
        <f>(300+8*A3)*1.1</f>
        <v/>
      </c>
    </row>
    <row r="4">
      <c r="A4" s="2" t="n">
        <v>1000</v>
      </c>
      <c r="B4" s="2">
        <f>Exploitation!B7/A4</f>
        <v/>
      </c>
      <c r="C4" s="2">
        <f>(300+8*A4)*1.1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2026-09-24T05:06:18Z</dcterms:created>
  <dcterms:modified xmlns:dcterms="http://purl.org/dc/terms/" xmlns:xsi="http://www.w3.org/2001/XMLSchema-instance" xsi:type="dcterms:W3CDTF">2026-09-24T05:09:51Z</dcterms:modified>
</cp:coreProperties>
</file>